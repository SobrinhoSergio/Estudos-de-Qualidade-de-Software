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io\Downloads\MEUS ESTUDOS DE QA\"/>
    </mc:Choice>
  </mc:AlternateContent>
  <xr:revisionPtr revIDLastSave="0" documentId="13_ncr:1_{87A99E88-5B03-46B2-BE81-9EF6683981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s" sheetId="1" r:id="rId1"/>
    <sheet name="Métricas" sheetId="2" r:id="rId2"/>
    <sheet name="Regra" sheetId="3" r:id="rId3"/>
    <sheet name="Açõ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<sst xmlns="http://schemas.openxmlformats.org/spreadsheetml/2006/main" count="120" uniqueCount="81">
  <si>
    <t>ID</t>
  </si>
  <si>
    <t>Título do bug:</t>
  </si>
  <si>
    <t>Descrição:</t>
  </si>
  <si>
    <t>Causa raíz:</t>
  </si>
  <si>
    <t>Tipo:</t>
  </si>
  <si>
    <t>Severidade:</t>
  </si>
  <si>
    <t>Tempo Gasto /H:</t>
  </si>
  <si>
    <t>Ambiente:</t>
  </si>
  <si>
    <t>Média</t>
  </si>
  <si>
    <t>Baixa</t>
  </si>
  <si>
    <t>Horas Gastas</t>
  </si>
  <si>
    <t>Severidade dos bugs:</t>
  </si>
  <si>
    <t>Quantidade de Bugs por Causa Raíz</t>
  </si>
  <si>
    <t>FRONT OU BACK?</t>
  </si>
  <si>
    <t>HORAS GASTA X CAUSA RAÍZ?</t>
  </si>
  <si>
    <t>ATÉ 3 BUGS ABERTOS (SEVERIDADE MEDIA PRA BAIXO)</t>
  </si>
  <si>
    <t>SEM PROBLEMA</t>
  </si>
  <si>
    <t>3 A 5 BUGS ABERTOS</t>
  </si>
  <si>
    <t>ALERTA E O TIME TEM QUE OLHAR PARA OS BUGS - RCA A CADA 2 SPRINTS</t>
  </si>
  <si>
    <t>MAIS QUE 10 BUGS ABERTOS</t>
  </si>
  <si>
    <t>RCA EM TODA SPRINT + DEV DEDICADO EM RESOLUCAO DE BUGS.</t>
  </si>
  <si>
    <t>Acoes</t>
  </si>
  <si>
    <t>Responsavel</t>
  </si>
  <si>
    <t>Data limite</t>
  </si>
  <si>
    <t xml:space="preserve">História bem escrita com o que vai ser desenvolvido, testes que vamos fazer, versao que a gente vai assumir. Requisito nao funcional, requisito funcional. </t>
  </si>
  <si>
    <t>Pessoa ou pessoas
Herbert</t>
  </si>
  <si>
    <t>Sprint 2</t>
  </si>
  <si>
    <t>Revisao da documentacao feita</t>
  </si>
  <si>
    <t>Diego</t>
  </si>
  <si>
    <t>Evidência:</t>
  </si>
  <si>
    <t>Passo para Reproduzir</t>
  </si>
  <si>
    <t xml:space="preserve">O Link do Facebook escrito de maneira incorreta </t>
  </si>
  <si>
    <t xml:space="preserve">No cabecalho, o Facebook está escrito de maneira incorreta, ao invés da letra o está o número 0 </t>
  </si>
  <si>
    <t>Links das redes sociais não direcionam corretamente</t>
  </si>
  <si>
    <t>No cabeçalho, os links de Facebook, Instagram e Twitter não redirecionam para seus respectivos destinos, funcionando como links vazios.</t>
  </si>
  <si>
    <t>Possível ausência de URL nos atributos de link (href vazio ou incorreto)</t>
  </si>
  <si>
    <t>Funcional</t>
  </si>
  <si>
    <t>Botão “BLZ?” não possui ação</t>
  </si>
  <si>
    <t>O botão “BLZ?” não executa nenhuma ação ao ser clicado, não redirecionando o usuário.</t>
  </si>
  <si>
    <t>Possível ausência de evento JavaScript vinculado ao botão</t>
  </si>
  <si>
    <t>Erro de escrita na seção “Sobre nossa empresa”</t>
  </si>
  <si>
    <t>Na seção “Sobre nossa empresa”, a palavra “NOSA” está escrita incorretamente, o correto seria “NOSSA”.</t>
  </si>
  <si>
    <t>Erro de digitação no conteúdo</t>
  </si>
  <si>
    <t>UI</t>
  </si>
  <si>
    <t>Problemas de alinhamento e sobreposição de texto na seção “Sobre nossa empresa”</t>
  </si>
  <si>
    <t>Na seção “Sobre nossa empresa”, há desalinhamento no último item e sobreposição de texto, prejudicando a leitura.</t>
  </si>
  <si>
    <t>Falha na aplicação de estilos CSS (layout/responsividade)</t>
  </si>
  <si>
    <t>Texto em inglês na interface em português</t>
  </si>
  <si>
    <t>Na seção “Sucesso em vendas”, o último item “Études Newsletter”, há textos exibidos em inglês, destoando do restante da aplicação que está em português.</t>
  </si>
  <si>
    <t>Falha na padronização de idioma</t>
  </si>
  <si>
    <t>Imagem não carregada na seção “Hello World”</t>
  </si>
  <si>
    <t>Na seção “Hello World”, a imagem não é exibida corretamente, aparecendo apenas o texto alternativo.</t>
  </si>
  <si>
    <t>Botão “ACESSAR” não executa ação e possui erro de escrita</t>
  </si>
  <si>
    <t>Na seção “Acessar nosso canal”, o botão “ACESSAR” não executa nenhuma ação e apresenta possível erro de escrita.</t>
  </si>
  <si>
    <t>Possível caminho incorreto da imagem ou recurso inexistente</t>
  </si>
  <si>
    <t>Possível ausência de link ou evento associado ao botão</t>
  </si>
  <si>
    <t>Itens vazios sendo exibidos na lista da seção “Sucesso em vendas”</t>
  </si>
  <si>
    <t>Na seção “Sucesso em vendas”, são exibidos itens de lista vazios (bullet points sem conteúdo), causando poluição visual e indicando possível falha na renderização dos dados.</t>
  </si>
  <si>
    <t>Possível renderização de elementos HTML sem conteúdo (listas &lt;li&gt; vazias) ou falha no preenchimento de dados</t>
  </si>
  <si>
    <r>
      <t xml:space="preserve">1 - Acessar o site: https://encontreoerro.qazando.com.br/                      2- Observar a parte incial da página                                          3 - O primeiro Link Faceb00k                                              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 Facebook                                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 Faceb00k</t>
    </r>
  </si>
  <si>
    <r>
      <t xml:space="preserve">1 - Acessar o site
2- Clicar nos links das redes sociais no cabeçalho
3- Observar o comportamento dos links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Redirecionamento para as páginas corretas das redes sociais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Os links não direcionam para nenhum destino</t>
    </r>
  </si>
  <si>
    <r>
      <t xml:space="preserve">1 - Acessar o site
2- Localizar o botão “BLZ?”
3- Clicar no botão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O botão deve executar uma ação ou redirecionar para uma página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Nenhuma ação é executada</t>
    </r>
  </si>
  <si>
    <r>
      <t xml:space="preserve">1 - Acessar o site
2 - Navegar até a seção “Sobre nossa empresa”
3 - Observar o texto exibido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Texto exibido corretamente como “NOSSA”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Texto exibido como “NOSA”</t>
    </r>
  </si>
  <si>
    <r>
      <t xml:space="preserve">1 - Acessar o site
2 - Navegar até o item “Études Newsletter”
3 - Observar o idioma do conteúdo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Todo o conteúdo deve estar em português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Parte do conteúdo está em inglês</t>
    </r>
  </si>
  <si>
    <r>
      <t xml:space="preserve">1 - Acessar o site
2 - Navegar até a seção “Hello World”
3 - Observar a imagem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Imagem exibida corretamente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Imagem não carregada</t>
    </r>
  </si>
  <si>
    <r>
      <t xml:space="preserve">1 - Acessar o site
2 - Navegar até a seção “Acessar nosso canal”
3  - Clicar no botão “ACESSAR”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Botão deve redirecionar corretamente e escrito ACESSAR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Nenhuma ação é executada e está escrito ACESARR</t>
    </r>
  </si>
  <si>
    <t>Possível erro de digitação no conteúdo HTML</t>
  </si>
  <si>
    <t>DEV</t>
  </si>
  <si>
    <t>HOMOLOGAÇÃO</t>
  </si>
  <si>
    <t>PRODUÇÃO</t>
  </si>
  <si>
    <r>
      <t xml:space="preserve">1 - Acessar o site
2 - Navegar até a seção “Sobre nossa empresa”
3 - Observar o layout dos textos
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Título e texto alinhado e sem sobreposição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Texto desalinhado e título abaixo do texto</t>
    </r>
  </si>
  <si>
    <t xml:space="preserve">No rodapé, o Facebook está escrito de maneira incorreta, ao invés da letra o está o número 0 </t>
  </si>
  <si>
    <r>
      <t xml:space="preserve">1 - Acessar o site                                                                          2- Observar a parte incial da página                                          3 - O primeiro Link Faceb00k                                              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 Facebook                                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 Faceb00k</t>
    </r>
  </si>
  <si>
    <t>Links do rodapé não realizam redirecionamento</t>
  </si>
  <si>
    <t>Os links presentes no rodapé do site (About, Privacy e Social) não direcionam o usuário para nenhuma página ou funcionalidade ao serem clicados.</t>
  </si>
  <si>
    <r>
      <t xml:space="preserve">1 - Acessar o site
2 - Rolar até o rodapé da página
3 - Clicar em qualquer link                                                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Cada link deve redirecionar para sua respectiva página ou destino correto
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Os links não realizam nenhuma ação ou redirecionamento</t>
    </r>
  </si>
  <si>
    <t>Possível ausência de URLs válidas nos links (atributo href vazio ou incorreto)</t>
  </si>
  <si>
    <t>Origem:</t>
  </si>
  <si>
    <t>Front-end</t>
  </si>
  <si>
    <t>Siga-me no Linkedin: https://www.linkedin.com/in/sobrinhosergio/ e GitHub: https://github.com/SobrinhoSergio</t>
  </si>
  <si>
    <r>
      <t xml:space="preserve">1 - Acessar o site
2 - Navegar até a seção “Sucesso em vendas”
3 - Observar a lista exibida abaixo do título                    </t>
    </r>
    <r>
      <rPr>
        <b/>
        <sz val="12"/>
        <color theme="1"/>
        <rFont val="Arial"/>
        <family val="2"/>
        <scheme val="minor"/>
      </rPr>
      <t>Resultado esperado:</t>
    </r>
    <r>
      <rPr>
        <sz val="12"/>
        <color theme="1"/>
        <rFont val="Arial"/>
        <family val="2"/>
        <scheme val="minor"/>
      </rPr>
      <t xml:space="preserve">
A lista deve exibir apenas itens com conteúdo relevante                                                        </t>
    </r>
    <r>
      <rPr>
        <b/>
        <sz val="12"/>
        <color theme="1"/>
        <rFont val="Arial"/>
        <family val="2"/>
        <scheme val="minor"/>
      </rPr>
      <t>Resultado obtido:</t>
    </r>
    <r>
      <rPr>
        <sz val="12"/>
        <color theme="1"/>
        <rFont val="Arial"/>
        <family val="2"/>
        <scheme val="minor"/>
      </rPr>
      <t xml:space="preserve">
São exibidos vários itens vazios (sem texto), apenas com marcadores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</si>
</sst>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rgb="FF00FFFF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Bugs!$J$1</c:f>
              <c:strCache>
                <c:ptCount val="1"/>
                <c:pt idx="0">
                  <c:v>Tempo Gasto /H: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Bugs!$F$3:$F$21</c:f>
              <c:strCache>
                <c:ptCount val="10"/>
                <c:pt idx="0">
                  <c:v>Possível ausência de URL nos atributos de link (href vazio ou incorreto)</c:v>
                </c:pt>
                <c:pt idx="1">
                  <c:v>Possível ausência de evento JavaScript vinculado ao botão</c:v>
                </c:pt>
                <c:pt idx="2">
                  <c:v>Erro de digitação no conteúdo</c:v>
                </c:pt>
                <c:pt idx="3">
                  <c:v>Falha na aplicação de estilos CSS (layout/responsividade)</c:v>
                </c:pt>
                <c:pt idx="4">
                  <c:v>Possível renderização de elementos HTML sem conteúdo (listas &lt;li&gt; vazias) ou falha no preenchimento de dados</c:v>
                </c:pt>
                <c:pt idx="5">
                  <c:v>Falha na padronização de idioma</c:v>
                </c:pt>
                <c:pt idx="6">
                  <c:v>Possível caminho incorreto da imagem ou recurso inexistente</c:v>
                </c:pt>
                <c:pt idx="7">
                  <c:v>Possível ausência de link ou evento associado ao botão</c:v>
                </c:pt>
                <c:pt idx="8">
                  <c:v>Possível erro de digitação no conteúdo HTML</c:v>
                </c:pt>
                <c:pt idx="9">
                  <c:v>Possível ausência de URLs válidas nos links (atributo href vazio ou incorreto)</c:v>
                </c:pt>
              </c:strCache>
            </c:strRef>
          </c:cat>
          <c:val>
            <c:numRef>
              <c:f>Bugs!$J$2:$J$21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4C7-4ECF-8194-DCB84F7BC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1699921"/>
        <c:axId val="1687288952"/>
      </c:barChart>
      <c:catAx>
        <c:axId val="208169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87288952"/>
        <c:crosses val="autoZero"/>
        <c:auto val="1"/>
        <c:lblAlgn val="ctr"/>
        <c:lblOffset val="100"/>
        <c:noMultiLvlLbl val="1"/>
      </c:catAx>
      <c:valAx>
        <c:axId val="1687288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816999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1</xdr:row>
      <xdr:rowOff>238125</xdr:rowOff>
    </xdr:from>
    <xdr:to>
      <xdr:col>4</xdr:col>
      <xdr:colOff>4590531</xdr:colOff>
      <xdr:row>1</xdr:row>
      <xdr:rowOff>1704792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89662E-A8B0-C0BC-51AC-2DC3F5411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16025" y="466725"/>
          <a:ext cx="4152381" cy="14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2</xdr:row>
      <xdr:rowOff>95250</xdr:rowOff>
    </xdr:from>
    <xdr:to>
      <xdr:col>4</xdr:col>
      <xdr:colOff>4561956</xdr:colOff>
      <xdr:row>2</xdr:row>
      <xdr:rowOff>1561917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05BCC9D-CFB3-536F-2AE2-1AE4D69F8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87450" y="2209800"/>
          <a:ext cx="4152381" cy="14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523876</xdr:colOff>
      <xdr:row>3</xdr:row>
      <xdr:rowOff>209551</xdr:rowOff>
    </xdr:from>
    <xdr:to>
      <xdr:col>4</xdr:col>
      <xdr:colOff>4448175</xdr:colOff>
      <xdr:row>3</xdr:row>
      <xdr:rowOff>1941270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233ED66-1A56-4011-098A-765250CF2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01751" y="3943351"/>
          <a:ext cx="3924299" cy="1731719"/>
        </a:xfrm>
        <a:prstGeom prst="rect">
          <a:avLst/>
        </a:prstGeom>
      </xdr:spPr>
    </xdr:pic>
    <xdr:clientData/>
  </xdr:twoCellAnchor>
  <xdr:twoCellAnchor editAs="oneCell">
    <xdr:from>
      <xdr:col>4</xdr:col>
      <xdr:colOff>695325</xdr:colOff>
      <xdr:row>4</xdr:row>
      <xdr:rowOff>28576</xdr:rowOff>
    </xdr:from>
    <xdr:to>
      <xdr:col>4</xdr:col>
      <xdr:colOff>4238625</xdr:colOff>
      <xdr:row>4</xdr:row>
      <xdr:rowOff>1393340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538AFE4-BC6B-B815-52EF-96DAF0D87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92775" y="5962651"/>
          <a:ext cx="3543300" cy="1364764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581026</xdr:colOff>
      <xdr:row>5</xdr:row>
      <xdr:rowOff>19050</xdr:rowOff>
    </xdr:from>
    <xdr:to>
      <xdr:col>4</xdr:col>
      <xdr:colOff>4448176</xdr:colOff>
      <xdr:row>5</xdr:row>
      <xdr:rowOff>2179832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FF547B3-C829-7DE4-529D-658FABEB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78476" y="7410450"/>
          <a:ext cx="3867150" cy="2160782"/>
        </a:xfrm>
        <a:prstGeom prst="rect">
          <a:avLst/>
        </a:prstGeom>
      </xdr:spPr>
    </xdr:pic>
    <xdr:clientData/>
  </xdr:twoCellAnchor>
  <xdr:twoCellAnchor editAs="oneCell">
    <xdr:from>
      <xdr:col>4</xdr:col>
      <xdr:colOff>1800225</xdr:colOff>
      <xdr:row>6</xdr:row>
      <xdr:rowOff>38100</xdr:rowOff>
    </xdr:from>
    <xdr:to>
      <xdr:col>4</xdr:col>
      <xdr:colOff>2524035</xdr:colOff>
      <xdr:row>6</xdr:row>
      <xdr:rowOff>1952386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459F77C-1119-6103-E476-A9DE2ECF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497675" y="9658350"/>
          <a:ext cx="723810" cy="19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1066800</xdr:colOff>
      <xdr:row>7</xdr:row>
      <xdr:rowOff>209551</xdr:rowOff>
    </xdr:from>
    <xdr:to>
      <xdr:col>4</xdr:col>
      <xdr:colOff>3985530</xdr:colOff>
      <xdr:row>7</xdr:row>
      <xdr:rowOff>1781175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8BCADB3-3F18-FEFE-6973-429C8C641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64250" y="11820526"/>
          <a:ext cx="2918730" cy="1571624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1304926</xdr:colOff>
      <xdr:row>8</xdr:row>
      <xdr:rowOff>171450</xdr:rowOff>
    </xdr:from>
    <xdr:to>
      <xdr:col>4</xdr:col>
      <xdr:colOff>3838576</xdr:colOff>
      <xdr:row>8</xdr:row>
      <xdr:rowOff>1595319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BD1AF1C-DFB2-8D6E-645A-E448D471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02376" y="13925550"/>
          <a:ext cx="2533650" cy="1423869"/>
        </a:xfrm>
        <a:prstGeom prst="rect">
          <a:avLst/>
        </a:prstGeom>
      </xdr:spPr>
    </xdr:pic>
    <xdr:clientData/>
  </xdr:twoCellAnchor>
  <xdr:twoCellAnchor editAs="oneCell">
    <xdr:from>
      <xdr:col>4</xdr:col>
      <xdr:colOff>2200275</xdr:colOff>
      <xdr:row>9</xdr:row>
      <xdr:rowOff>438150</xdr:rowOff>
    </xdr:from>
    <xdr:to>
      <xdr:col>4</xdr:col>
      <xdr:colOff>3466942</xdr:colOff>
      <xdr:row>9</xdr:row>
      <xdr:rowOff>1190531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16F7F56-D731-4563-AB98-7C0AE7AF7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897725" y="16030575"/>
          <a:ext cx="1266667" cy="7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1943100</xdr:colOff>
      <xdr:row>10</xdr:row>
      <xdr:rowOff>85725</xdr:rowOff>
    </xdr:from>
    <xdr:to>
      <xdr:col>4</xdr:col>
      <xdr:colOff>2828814</xdr:colOff>
      <xdr:row>10</xdr:row>
      <xdr:rowOff>1657154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FB9C3B52-CF19-D548-6063-7ED3850A7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288625" y="17964150"/>
          <a:ext cx="885714" cy="15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11</xdr:row>
      <xdr:rowOff>200026</xdr:rowOff>
    </xdr:from>
    <xdr:to>
      <xdr:col>4</xdr:col>
      <xdr:colOff>4849334</xdr:colOff>
      <xdr:row>11</xdr:row>
      <xdr:rowOff>1685926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01573E2-228D-A725-402C-7A28273F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21750" y="19897726"/>
          <a:ext cx="4573109" cy="1485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4</xdr:row>
      <xdr:rowOff>142875</xdr:rowOff>
    </xdr:from>
    <xdr:ext cx="7972425" cy="35814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workbookViewId="0">
      <selection activeCell="B13" sqref="B13"/>
    </sheetView>
  </sheetViews>
  <sheetFormatPr defaultColWidth="12.5703125" defaultRowHeight="15.75" customHeight="1" x14ac:dyDescent="0.2"/>
  <cols>
    <col min="1" max="1" width="7.85546875" style="12" customWidth="1"/>
    <col min="2" max="2" width="89" style="12" bestFit="1" customWidth="1"/>
    <col min="3" max="3" width="161.7109375" style="12" bestFit="1" customWidth="1"/>
    <col min="4" max="4" width="61.5703125" style="12" bestFit="1" customWidth="1"/>
    <col min="5" max="5" width="74.5703125" style="12" customWidth="1"/>
    <col min="6" max="6" width="61.28515625" style="12" bestFit="1" customWidth="1"/>
    <col min="7" max="8" width="20.28515625" style="12" customWidth="1"/>
    <col min="9" max="9" width="17.5703125" style="12" bestFit="1" customWidth="1"/>
    <col min="10" max="10" width="23.85546875" style="12" bestFit="1" customWidth="1"/>
    <col min="11" max="11" width="22.7109375" style="12" customWidth="1"/>
    <col min="12" max="16384" width="12.5703125" style="12"/>
  </cols>
  <sheetData>
    <row r="1" spans="1:31" ht="24" customHeight="1" x14ac:dyDescent="0.2">
      <c r="A1" s="10" t="s">
        <v>0</v>
      </c>
      <c r="B1" s="10" t="s">
        <v>1</v>
      </c>
      <c r="C1" s="10" t="s">
        <v>2</v>
      </c>
      <c r="D1" s="10" t="s">
        <v>30</v>
      </c>
      <c r="E1" s="10" t="s">
        <v>29</v>
      </c>
      <c r="F1" s="10" t="s">
        <v>3</v>
      </c>
      <c r="G1" s="22" t="s">
        <v>4</v>
      </c>
      <c r="H1" s="26" t="s">
        <v>77</v>
      </c>
      <c r="I1" s="25" t="s">
        <v>5</v>
      </c>
      <c r="J1" s="10" t="s">
        <v>6</v>
      </c>
      <c r="K1" s="10" t="s">
        <v>7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48.5" customHeight="1" x14ac:dyDescent="0.2">
      <c r="A2" s="13">
        <v>1</v>
      </c>
      <c r="B2" s="13" t="s">
        <v>31</v>
      </c>
      <c r="C2" s="13" t="s">
        <v>32</v>
      </c>
      <c r="D2" s="13" t="s">
        <v>59</v>
      </c>
      <c r="E2" s="13"/>
      <c r="F2" s="14" t="s">
        <v>66</v>
      </c>
      <c r="G2" s="23" t="s">
        <v>43</v>
      </c>
      <c r="H2" s="17" t="s">
        <v>78</v>
      </c>
      <c r="I2" s="16" t="s">
        <v>9</v>
      </c>
      <c r="J2" s="13">
        <v>1</v>
      </c>
      <c r="K2" s="13" t="s">
        <v>67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1.5" x14ac:dyDescent="0.2">
      <c r="A3" s="13">
        <v>2</v>
      </c>
      <c r="B3" s="13" t="s">
        <v>33</v>
      </c>
      <c r="C3" s="13" t="s">
        <v>34</v>
      </c>
      <c r="D3" s="13" t="s">
        <v>60</v>
      </c>
      <c r="E3" s="13"/>
      <c r="F3" s="12" t="s">
        <v>35</v>
      </c>
      <c r="G3" s="24" t="s">
        <v>36</v>
      </c>
      <c r="H3" s="17" t="s">
        <v>78</v>
      </c>
      <c r="I3" s="18" t="s">
        <v>8</v>
      </c>
      <c r="J3" s="13">
        <v>2</v>
      </c>
      <c r="K3" s="13" t="s">
        <v>68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173.25" customHeight="1" x14ac:dyDescent="0.2">
      <c r="A4" s="13">
        <v>3</v>
      </c>
      <c r="B4" s="13" t="s">
        <v>37</v>
      </c>
      <c r="C4" s="13" t="s">
        <v>38</v>
      </c>
      <c r="D4" s="13" t="s">
        <v>61</v>
      </c>
      <c r="E4" s="13"/>
      <c r="F4" s="13" t="s">
        <v>39</v>
      </c>
      <c r="G4" s="14" t="s">
        <v>36</v>
      </c>
      <c r="H4" s="17" t="s">
        <v>78</v>
      </c>
      <c r="I4" s="18" t="s">
        <v>8</v>
      </c>
      <c r="J4" s="13">
        <v>0.5</v>
      </c>
      <c r="K4" s="13" t="s">
        <v>68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136.5" x14ac:dyDescent="0.2">
      <c r="A5" s="13">
        <v>4</v>
      </c>
      <c r="B5" s="13" t="s">
        <v>40</v>
      </c>
      <c r="C5" s="13" t="s">
        <v>41</v>
      </c>
      <c r="D5" s="13" t="s">
        <v>62</v>
      </c>
      <c r="E5" s="13"/>
      <c r="F5" s="13" t="s">
        <v>42</v>
      </c>
      <c r="G5" s="14" t="s">
        <v>43</v>
      </c>
      <c r="H5" s="17" t="s">
        <v>78</v>
      </c>
      <c r="I5" s="18" t="s">
        <v>9</v>
      </c>
      <c r="J5" s="13">
        <v>1</v>
      </c>
      <c r="K5" s="13" t="s">
        <v>68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175.5" customHeight="1" x14ac:dyDescent="0.2">
      <c r="A6" s="13">
        <v>5</v>
      </c>
      <c r="B6" s="12" t="s">
        <v>44</v>
      </c>
      <c r="C6" s="13" t="s">
        <v>45</v>
      </c>
      <c r="D6" s="13" t="s">
        <v>70</v>
      </c>
      <c r="E6" s="13"/>
      <c r="F6" s="13" t="s">
        <v>46</v>
      </c>
      <c r="G6" s="14" t="s">
        <v>43</v>
      </c>
      <c r="H6" s="17" t="s">
        <v>78</v>
      </c>
      <c r="I6" s="18" t="s">
        <v>8</v>
      </c>
      <c r="J6" s="13">
        <v>1.5</v>
      </c>
      <c r="K6" s="13" t="s">
        <v>68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156.75" customHeight="1" x14ac:dyDescent="0.2">
      <c r="A7" s="13">
        <v>6</v>
      </c>
      <c r="B7" s="13" t="s">
        <v>56</v>
      </c>
      <c r="C7" s="13" t="s">
        <v>57</v>
      </c>
      <c r="D7" s="13" t="s">
        <v>80</v>
      </c>
      <c r="E7" s="13"/>
      <c r="F7" s="13" t="s">
        <v>58</v>
      </c>
      <c r="G7" s="14" t="s">
        <v>43</v>
      </c>
      <c r="H7" s="17" t="s">
        <v>78</v>
      </c>
      <c r="I7" s="18" t="s">
        <v>9</v>
      </c>
      <c r="J7" s="13">
        <v>3</v>
      </c>
      <c r="K7" s="13" t="s">
        <v>69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168.75" customHeight="1" x14ac:dyDescent="0.2">
      <c r="A8" s="13">
        <v>7</v>
      </c>
      <c r="B8" s="13" t="s">
        <v>47</v>
      </c>
      <c r="C8" s="16" t="s">
        <v>48</v>
      </c>
      <c r="D8" s="13" t="s">
        <v>63</v>
      </c>
      <c r="E8" s="13"/>
      <c r="F8" s="13" t="s">
        <v>49</v>
      </c>
      <c r="G8" s="14" t="s">
        <v>43</v>
      </c>
      <c r="H8" s="17" t="s">
        <v>78</v>
      </c>
      <c r="I8" s="18" t="s">
        <v>9</v>
      </c>
      <c r="J8" s="13">
        <v>2</v>
      </c>
      <c r="K8" s="13" t="s">
        <v>69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44.75" customHeight="1" x14ac:dyDescent="0.2">
      <c r="A9" s="13">
        <v>8</v>
      </c>
      <c r="B9" s="16" t="s">
        <v>50</v>
      </c>
      <c r="C9" s="17" t="s">
        <v>51</v>
      </c>
      <c r="D9" s="18" t="s">
        <v>64</v>
      </c>
      <c r="E9" s="13"/>
      <c r="F9" s="13" t="s">
        <v>54</v>
      </c>
      <c r="G9" s="14" t="s">
        <v>43</v>
      </c>
      <c r="H9" s="17" t="s">
        <v>78</v>
      </c>
      <c r="I9" s="18" t="s">
        <v>8</v>
      </c>
      <c r="J9" s="13">
        <v>1</v>
      </c>
      <c r="K9" s="13" t="s">
        <v>67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136.5" customHeight="1" x14ac:dyDescent="0.2">
      <c r="A10" s="13">
        <v>9</v>
      </c>
      <c r="B10" s="13" t="s">
        <v>52</v>
      </c>
      <c r="C10" s="16" t="s">
        <v>53</v>
      </c>
      <c r="D10" s="13" t="s">
        <v>65</v>
      </c>
      <c r="E10" s="13"/>
      <c r="F10" s="13" t="s">
        <v>55</v>
      </c>
      <c r="G10" s="14" t="s">
        <v>36</v>
      </c>
      <c r="H10" s="17" t="s">
        <v>78</v>
      </c>
      <c r="I10" s="18" t="s">
        <v>8</v>
      </c>
      <c r="J10" s="13">
        <v>2</v>
      </c>
      <c r="K10" s="13" t="s">
        <v>68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143.25" customHeight="1" x14ac:dyDescent="0.2">
      <c r="A11" s="13">
        <v>10</v>
      </c>
      <c r="B11" s="13" t="s">
        <v>31</v>
      </c>
      <c r="C11" s="21" t="s">
        <v>71</v>
      </c>
      <c r="D11" s="13" t="s">
        <v>72</v>
      </c>
      <c r="E11" s="13"/>
      <c r="F11" s="14" t="s">
        <v>66</v>
      </c>
      <c r="G11" s="23" t="s">
        <v>43</v>
      </c>
      <c r="H11" s="17" t="s">
        <v>78</v>
      </c>
      <c r="I11" s="16" t="s">
        <v>9</v>
      </c>
      <c r="J11" s="13">
        <v>1</v>
      </c>
      <c r="K11" s="13" t="s">
        <v>67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50.75" customHeight="1" x14ac:dyDescent="0.2">
      <c r="A12" s="13">
        <v>11</v>
      </c>
      <c r="B12" s="16" t="s">
        <v>73</v>
      </c>
      <c r="C12" s="17" t="s">
        <v>74</v>
      </c>
      <c r="D12" s="18" t="s">
        <v>75</v>
      </c>
      <c r="E12" s="13"/>
      <c r="F12" s="13" t="s">
        <v>76</v>
      </c>
      <c r="G12" s="14" t="s">
        <v>36</v>
      </c>
      <c r="H12" s="17" t="s">
        <v>78</v>
      </c>
      <c r="I12" s="18" t="s">
        <v>8</v>
      </c>
      <c r="J12" s="13">
        <v>2</v>
      </c>
      <c r="K12" s="13" t="s">
        <v>68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ht="91.5" customHeight="1" x14ac:dyDescent="0.2">
      <c r="A13" s="13">
        <v>12</v>
      </c>
      <c r="B13" s="27" t="s">
        <v>79</v>
      </c>
      <c r="C13" s="15"/>
      <c r="D13" s="13"/>
      <c r="E13" s="13"/>
      <c r="F13" s="13"/>
      <c r="G13" s="13"/>
      <c r="H13" s="15"/>
      <c r="I13" s="13"/>
      <c r="J13" s="13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ht="15" x14ac:dyDescent="0.2">
      <c r="A14" s="13">
        <v>13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15" x14ac:dyDescent="0.2">
      <c r="A15" s="13">
        <v>14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15" x14ac:dyDescent="0.2">
      <c r="A16" s="13">
        <v>15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ht="15" x14ac:dyDescent="0.2">
      <c r="A17" s="13">
        <v>16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ht="15" x14ac:dyDescent="0.2">
      <c r="A18" s="13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ht="15" x14ac:dyDescent="0.2">
      <c r="A19" s="13">
        <v>18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5" x14ac:dyDescent="0.2">
      <c r="A20" s="13">
        <v>19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5" x14ac:dyDescent="0.2">
      <c r="A21" s="13">
        <v>20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9">
        <f>SUM(J2:J21)</f>
        <v>17</v>
      </c>
      <c r="K23" s="20" t="s">
        <v>10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ht="1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ht="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ht="1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1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5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5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5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5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5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5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5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5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5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5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5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5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5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5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5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5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5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5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5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5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5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5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5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5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5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5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5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5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5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5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5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5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5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5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5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5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5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5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5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ht="15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5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5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5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5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5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5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5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5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5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5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5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5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5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5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5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5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5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5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5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5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5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5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5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5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ht="15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ht="15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ht="15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ht="15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ht="15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ht="15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ht="15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ht="15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ht="15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ht="15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ht="15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ht="15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ht="15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ht="15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ht="15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ht="15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ht="15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ht="15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ht="15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ht="15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ht="15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ht="15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ht="15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ht="15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ht="15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ht="15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ht="15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ht="15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ht="15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ht="15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ht="15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ht="15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ht="15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ht="15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spans="1:31" ht="15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ht="15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ht="15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ht="15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spans="1:31" ht="15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ht="15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ht="15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ht="15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ht="15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ht="15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ht="15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ht="15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ht="15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ht="15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ht="15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ht="15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ht="15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ht="15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ht="15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ht="15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ht="15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ht="15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ht="15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ht="15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ht="15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ht="15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ht="15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ht="15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ht="15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ht="15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spans="1:31" ht="15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spans="1:31" ht="15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spans="1:31" ht="15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spans="1:31" ht="15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spans="1:31" ht="15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spans="1:31" ht="15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spans="1:31" ht="15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spans="1:31" ht="15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spans="1:31" ht="15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spans="1:31" ht="15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spans="1:31" ht="15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spans="1:31" ht="15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spans="1:31" ht="15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spans="1:31" ht="15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spans="1:31" ht="15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spans="1:31" ht="15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spans="1:31" ht="15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spans="1:31" ht="15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spans="1:31" ht="15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spans="1:31" ht="15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spans="1:31" ht="15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spans="1:31" ht="15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spans="1:31" ht="15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spans="1:31" ht="15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spans="1:31" ht="15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spans="1:31" ht="15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spans="1:31" ht="15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spans="1:31" ht="15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spans="1:31" ht="15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spans="1:31" ht="15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spans="1:31" ht="15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spans="1:31" ht="15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spans="1:31" ht="15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spans="1:31" ht="15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spans="1:31" ht="15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spans="1:31" ht="15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spans="1:31" ht="15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spans="1:31" ht="15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spans="1:31" ht="15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spans="1:31" ht="15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spans="1:31" ht="15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spans="1:31" ht="15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spans="1:31" ht="15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spans="1:31" ht="15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spans="1:31" ht="15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spans="1:31" ht="15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spans="1:31" ht="15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spans="1:31" ht="15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spans="1:31" ht="15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spans="1:31" ht="15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spans="1:31" ht="15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spans="1:31" ht="15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spans="1:31" ht="15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spans="1:31" ht="15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spans="1:31" ht="15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spans="1:31" ht="15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spans="1:31" ht="15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spans="1:31" ht="15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spans="1:31" ht="15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spans="1:31" ht="15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spans="1:31" ht="15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spans="1:31" ht="15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spans="1:31" ht="15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spans="1:31" ht="15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spans="1:31" ht="15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spans="1:31" ht="15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spans="1:31" ht="15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spans="1:31" ht="15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spans="1:31" ht="15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spans="1:31" ht="15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spans="1:31" ht="15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spans="1:31" ht="15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spans="1:31" ht="15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spans="1:31" ht="15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spans="1:31" ht="15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spans="1:31" ht="15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spans="1:31" ht="15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spans="1:31" ht="15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spans="1:31" ht="15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spans="1:31" ht="15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spans="1:31" ht="15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spans="1:31" ht="15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spans="1:31" ht="15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spans="1:31" ht="15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spans="1:31" ht="15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spans="1:31" ht="15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spans="1:31" ht="15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spans="1:31" ht="15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spans="1:31" ht="15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spans="1:31" ht="15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spans="1:31" ht="15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spans="1:31" ht="15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spans="1:31" ht="15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spans="1:31" ht="15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spans="1:31" ht="15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spans="1:31" ht="15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spans="1:31" ht="15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spans="1:31" ht="15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spans="1:31" ht="15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spans="1:31" ht="15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spans="1:31" ht="15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spans="1:31" ht="15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spans="1:31" ht="15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spans="1:31" ht="15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spans="1:31" ht="15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spans="1:31" ht="15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spans="1:31" ht="15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spans="1:31" ht="15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spans="1:31" ht="15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spans="1:31" ht="15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spans="1:31" ht="15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spans="1:31" ht="15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spans="1:31" ht="15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spans="1:31" ht="15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spans="1:31" ht="15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spans="1:31" ht="15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spans="1:31" ht="15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spans="1:31" ht="15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spans="1:31" ht="15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spans="1:31" ht="15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spans="1:31" ht="15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spans="1:31" ht="15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spans="1:31" ht="15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spans="1:31" ht="15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spans="1:31" ht="15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spans="1:31" ht="15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spans="1:31" ht="15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spans="1:31" ht="15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spans="1:31" ht="15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spans="1:31" ht="15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spans="1:31" ht="15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spans="1:31" ht="15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spans="1:31" ht="15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spans="1:31" ht="15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spans="1:31" ht="15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spans="1:31" ht="15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spans="1:31" ht="15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spans="1:31" ht="15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spans="1:31" ht="15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spans="1:31" ht="15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spans="1:31" ht="15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spans="1:31" ht="15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spans="1:31" ht="15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spans="1:31" ht="15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spans="1:31" ht="15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spans="1:31" ht="15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spans="1:31" ht="15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spans="1:31" ht="15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spans="1:31" ht="15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spans="1:31" ht="15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spans="1:31" ht="15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spans="1:31" ht="15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spans="1:31" ht="15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spans="1:31" ht="15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spans="1:31" ht="15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spans="1:31" ht="15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spans="1:31" ht="15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spans="1:31" ht="15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spans="1:31" ht="15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spans="1:31" ht="15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spans="1:31" ht="15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spans="1:31" ht="15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spans="1:31" ht="15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spans="1:31" ht="15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spans="1:31" ht="15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spans="1:31" ht="15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spans="1:31" ht="15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spans="1:31" ht="15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spans="1:31" ht="15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spans="1:31" ht="15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spans="1:31" ht="15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spans="1:31" ht="15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spans="1:31" ht="15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spans="1:31" ht="15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spans="1:31" ht="15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spans="1:31" ht="15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spans="1:31" ht="15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spans="1:31" ht="15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spans="1:31" ht="15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spans="1:31" ht="15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spans="1:31" ht="15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spans="1:31" ht="15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spans="1:31" ht="15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spans="1:31" ht="15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spans="1:31" ht="15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spans="1:31" ht="15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spans="1:31" ht="15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spans="1:31" ht="15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spans="1:31" ht="15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spans="1:31" ht="15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spans="1:31" ht="15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spans="1:31" ht="15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spans="1:31" ht="15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spans="1:31" ht="15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spans="1:31" ht="15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spans="1:31" ht="15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spans="1:31" ht="15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spans="1:31" ht="15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spans="1:31" ht="15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spans="1:31" ht="15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spans="1:31" ht="15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spans="1:31" ht="15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spans="1:31" ht="15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spans="1:31" ht="15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spans="1:31" ht="15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spans="1:31" ht="15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spans="1:31" ht="15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spans="1:31" ht="15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spans="1:31" ht="15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spans="1:31" ht="15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spans="1:31" ht="15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spans="1:31" ht="15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spans="1:31" ht="15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spans="1:31" ht="15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spans="1:31" ht="15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spans="1:31" ht="15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spans="1:31" ht="15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spans="1:31" ht="15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spans="1:31" ht="15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spans="1:31" ht="15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spans="1:31" ht="15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spans="1:31" ht="15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spans="1:31" ht="15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spans="1:31" ht="15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spans="1:31" ht="15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spans="1:31" ht="15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spans="1:31" ht="15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spans="1:31" ht="15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spans="1:31" ht="15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spans="1:31" ht="15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spans="1:31" ht="15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spans="1:31" ht="15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spans="1:31" ht="15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spans="1:31" ht="15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spans="1:31" ht="15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spans="1:31" ht="15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spans="1:31" ht="15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spans="1:31" ht="15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spans="1:31" ht="15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spans="1:31" ht="15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spans="1:31" ht="15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spans="1:31" ht="15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spans="1:31" ht="15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spans="1:31" ht="15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spans="1:31" ht="15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spans="1:31" ht="15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spans="1:31" ht="15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spans="1:31" ht="15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spans="1:31" ht="15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spans="1:31" ht="15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spans="1:31" ht="15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spans="1:31" ht="15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spans="1:31" ht="15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spans="1:31" ht="15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spans="1:31" ht="15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spans="1:31" ht="15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spans="1:31" ht="15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spans="1:31" ht="15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spans="1:31" ht="15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spans="1:31" ht="15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spans="1:31" ht="15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spans="1:31" ht="15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spans="1:31" ht="15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spans="1:31" ht="15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spans="1:31" ht="15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spans="1:31" ht="15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spans="1:31" ht="15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spans="1:31" ht="15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spans="1:31" ht="15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spans="1:31" ht="15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spans="1:31" ht="15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spans="1:31" ht="15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spans="1:31" ht="15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spans="1:31" ht="15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spans="1:31" ht="15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spans="1:31" ht="15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spans="1:31" ht="15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spans="1:31" ht="15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spans="1:31" ht="15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spans="1:31" ht="15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spans="1:31" ht="15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spans="1:31" ht="15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spans="1:31" ht="15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spans="1:31" ht="15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spans="1:31" ht="15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spans="1:31" ht="15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spans="1:31" ht="15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spans="1:31" ht="15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spans="1:31" ht="15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spans="1:31" ht="15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spans="1:31" ht="15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spans="1:31" ht="15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spans="1:31" ht="15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spans="1:31" ht="15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spans="1:31" ht="15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spans="1:31" ht="15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spans="1:31" ht="15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spans="1:31" ht="15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spans="1:31" ht="15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spans="1:31" ht="15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spans="1:31" ht="15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spans="1:31" ht="15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spans="1:31" ht="15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spans="1:31" ht="15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spans="1:31" ht="15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spans="1:31" ht="15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spans="1:31" ht="15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spans="1:31" ht="15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spans="1:31" ht="15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spans="1:31" ht="15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spans="1:31" ht="15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spans="1:31" ht="15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spans="1:31" ht="15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spans="1:31" ht="15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spans="1:31" ht="15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spans="1:31" ht="15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spans="1:31" ht="15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spans="1:31" ht="15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spans="1:31" ht="15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spans="1:31" ht="15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spans="1:31" ht="15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spans="1:31" ht="15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spans="1:31" ht="15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spans="1:31" ht="15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spans="1:31" ht="15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spans="1:31" ht="15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spans="1:31" ht="15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spans="1:31" ht="15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spans="1:31" ht="15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spans="1:31" ht="15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spans="1:31" ht="15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spans="1:31" ht="15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spans="1:31" ht="15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spans="1:31" ht="15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spans="1:31" ht="15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spans="1:31" ht="15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spans="1:31" ht="15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spans="1:31" ht="15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spans="1:31" ht="15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spans="1:31" ht="15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spans="1:31" ht="15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spans="1:31" ht="15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spans="1:31" ht="15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spans="1:31" ht="15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spans="1:31" ht="15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spans="1:31" ht="15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spans="1:31" ht="15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spans="1:31" ht="15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spans="1:31" ht="15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spans="1:31" ht="15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spans="1:31" ht="15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spans="1:31" ht="15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spans="1:31" ht="15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spans="1:31" ht="15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spans="1:31" ht="15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spans="1:31" ht="15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spans="1:31" ht="15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spans="1:31" ht="15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spans="1:31" ht="15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spans="1:31" ht="15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spans="1:31" ht="15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spans="1:31" ht="15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spans="1:31" ht="15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spans="1:31" ht="15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spans="1:31" ht="15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spans="1:31" ht="15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spans="1:31" ht="15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spans="1:31" ht="15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spans="1:31" ht="15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spans="1:31" ht="15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spans="1:31" ht="15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spans="1:31" ht="15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spans="1:31" ht="15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spans="1:31" ht="15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spans="1:31" ht="15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spans="1:31" ht="15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spans="1:31" ht="15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spans="1:31" ht="15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spans="1:31" ht="15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spans="1:31" ht="15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spans="1:31" ht="15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spans="1:31" ht="15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spans="1:31" ht="15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spans="1:31" ht="15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spans="1:31" ht="15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spans="1:31" ht="15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spans="1:31" ht="15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spans="1:31" ht="15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spans="1:31" ht="15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spans="1:31" ht="15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spans="1:31" ht="15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spans="1:31" ht="15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spans="1:31" ht="15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spans="1:31" ht="15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spans="1:31" ht="15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spans="1:31" ht="15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spans="1:31" ht="15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spans="1:31" ht="15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spans="1:31" ht="15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spans="1:31" ht="15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spans="1:31" ht="15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spans="1:31" ht="15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spans="1:31" ht="15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spans="1:31" ht="15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spans="1:31" ht="15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spans="1:31" ht="15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spans="1:31" ht="15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spans="1:31" ht="15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spans="1:31" ht="15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spans="1:31" ht="15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spans="1:31" ht="15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spans="1:31" ht="15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spans="1:31" ht="15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spans="1:31" ht="15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spans="1:31" ht="15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spans="1:31" ht="15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spans="1:31" ht="15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spans="1:31" ht="15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spans="1:31" ht="15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spans="1:31" ht="15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spans="1:31" ht="15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spans="1:31" ht="15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spans="1:31" ht="15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spans="1:31" ht="15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spans="1:31" ht="15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spans="1:31" ht="15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spans="1:31" ht="15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spans="1:31" ht="15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spans="1:31" ht="15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spans="1:31" ht="15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spans="1:31" ht="15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spans="1:31" ht="15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spans="1:31" ht="15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spans="1:31" ht="15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spans="1:31" ht="15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spans="1:31" ht="15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spans="1:31" ht="15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spans="1:31" ht="15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spans="1:31" ht="15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spans="1:31" ht="15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spans="1:31" ht="15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spans="1:31" ht="15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spans="1:31" ht="15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spans="1:31" ht="15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spans="1:31" ht="15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spans="1:31" ht="15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spans="1:31" ht="15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spans="1:31" ht="15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spans="1:31" ht="15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spans="1:31" ht="15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spans="1:31" ht="15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spans="1:31" ht="15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spans="1:31" ht="15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spans="1:31" ht="15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spans="1:31" ht="15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spans="1:31" ht="15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spans="1:31" ht="15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spans="1:31" ht="15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spans="1:31" ht="15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spans="1:31" ht="15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spans="1:31" ht="15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spans="1:31" ht="15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spans="1:31" ht="15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spans="1:31" ht="15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spans="1:31" ht="15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spans="1:31" ht="15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spans="1:31" ht="15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spans="1:31" ht="15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spans="1:31" ht="15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spans="1:31" ht="15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spans="1:31" ht="15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spans="1:31" ht="15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spans="1:31" ht="15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spans="1:31" ht="15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spans="1:31" ht="15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spans="1:31" ht="15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spans="1:31" ht="15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spans="1:31" ht="15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spans="1:31" ht="15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spans="1:31" ht="15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spans="1:31" ht="15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spans="1:31" ht="15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spans="1:31" ht="15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spans="1:31" ht="15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spans="1:31" ht="15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spans="1:31" ht="15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spans="1:31" ht="15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spans="1:31" ht="15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spans="1:31" ht="15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spans="1:31" ht="15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spans="1:31" ht="15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spans="1:31" ht="15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spans="1:31" ht="15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spans="1:31" ht="15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spans="1:31" ht="15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spans="1:31" ht="15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spans="1:31" ht="15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spans="1:31" ht="15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spans="1:31" ht="15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spans="1:31" ht="15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spans="1:31" ht="15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spans="1:31" ht="15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spans="1:31" ht="15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spans="1:31" ht="15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spans="1:31" ht="15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spans="1:31" ht="15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spans="1:31" ht="15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spans="1:31" ht="15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spans="1:31" ht="15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spans="1:31" ht="15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spans="1:31" ht="15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spans="1:31" ht="15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spans="1:31" ht="15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spans="1:31" ht="15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spans="1:31" ht="15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spans="1:31" ht="15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spans="1:31" ht="15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spans="1:31" ht="15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spans="1:31" ht="15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spans="1:31" ht="15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spans="1:31" ht="15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spans="1:31" ht="15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spans="1:31" ht="15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spans="1:31" ht="15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spans="1:31" ht="15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spans="1:31" ht="15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spans="1:31" ht="15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spans="1:31" ht="15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spans="1:31" ht="15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spans="1:31" ht="15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spans="1:31" ht="15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spans="1:31" ht="15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spans="1:31" ht="15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spans="1:31" ht="15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spans="1:31" ht="15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spans="1:31" ht="15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spans="1:31" ht="15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spans="1:31" ht="15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spans="1:31" ht="15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spans="1:31" ht="15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spans="1:31" ht="15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spans="1:31" ht="15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spans="1:31" ht="15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spans="1:31" ht="15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spans="1:31" ht="15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spans="1:31" ht="15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spans="1:31" ht="15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spans="1:31" ht="15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spans="1:31" ht="15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spans="1:31" ht="15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spans="1:31" ht="15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spans="1:31" ht="15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spans="1:31" ht="15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spans="1:31" ht="15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spans="1:31" ht="15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spans="1:31" ht="15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spans="1:31" ht="15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spans="1:31" ht="15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spans="1:31" ht="15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spans="1:31" ht="15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spans="1:31" ht="15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spans="1:31" ht="15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spans="1:31" ht="15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spans="1:31" ht="15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spans="1:31" ht="15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spans="1:31" ht="15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spans="1:31" ht="15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spans="1:31" ht="15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spans="1:31" ht="15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spans="1:31" ht="15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spans="1:31" ht="15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spans="1:31" ht="15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spans="1:31" ht="15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spans="1:31" ht="15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spans="1:31" ht="15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spans="1:31" ht="15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spans="1:31" ht="15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spans="1:31" ht="15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spans="1:31" ht="15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spans="1:31" ht="15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spans="1:31" ht="15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spans="1:31" ht="15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spans="1:31" ht="15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spans="1:31" ht="15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spans="1:31" ht="15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spans="1:31" ht="15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spans="1:31" ht="15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spans="1:31" ht="15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spans="1:31" ht="15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spans="1:31" ht="15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spans="1:31" ht="15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spans="1:31" ht="15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spans="1:31" ht="15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spans="1:31" ht="15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spans="1:31" ht="15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spans="1:31" ht="15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spans="1:31" ht="15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spans="1:31" ht="15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spans="1:31" ht="15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spans="1:31" ht="15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spans="1:31" ht="15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spans="1:31" ht="15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spans="1:31" ht="15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spans="1:31" ht="15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spans="1:31" ht="15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spans="1:31" ht="15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spans="1:31" ht="15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spans="1:31" ht="15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spans="1:31" ht="15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spans="1:31" ht="15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spans="1:31" ht="15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spans="1:31" ht="15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spans="1:31" ht="15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spans="1:31" ht="15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spans="1:31" ht="15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1:31" ht="15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1:31" ht="15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1:31" ht="15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1:31" ht="15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1:31" ht="15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1:31" ht="15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1:31" ht="15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1:31" ht="15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1:31" ht="15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1:31" ht="15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1:31" ht="15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1:31" ht="15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1:31" ht="15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1:31" ht="15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1:31" ht="15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1:31" ht="15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1:31" ht="15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1:31" ht="15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1:31" ht="15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1:31" ht="15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1:31" ht="15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1:31" ht="15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1:31" ht="15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1:31" ht="15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1:31" ht="15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1:31" ht="15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1:31" ht="15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1:31" ht="15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1:31" ht="15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1:31" ht="15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1:31" ht="15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1:31" ht="15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1:31" ht="15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1:31" ht="15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1:31" ht="15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1:31" ht="15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1:31" ht="15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1:31" ht="15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1:31" ht="15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1:31" ht="15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1:31" ht="15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1:31" ht="15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1:31" ht="15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1:31" ht="15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1:31" ht="15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1:31" ht="15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1:31" ht="15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1:31" ht="15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1:31" ht="15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1:31" ht="15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1:31" ht="15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1:31" ht="15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1:31" ht="15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1:31" ht="15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1:31" ht="15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1:31" ht="15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1:31" ht="15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1:31" ht="15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1:31" ht="15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1:31" ht="15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1:31" ht="15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1:31" ht="15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1:31" ht="15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1:31" ht="15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1:31" ht="15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1:31" ht="15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1:31" ht="15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1:31" ht="15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1:31" ht="15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1:31" ht="15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1:31" ht="15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1:31" ht="15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1:31" ht="15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1:31" ht="15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1:31" ht="15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1:31" ht="15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1:31" ht="15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1:31" ht="15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1:31" ht="15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1:31" ht="15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1:31" ht="15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1:31" ht="15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1:31" ht="15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1:31" ht="15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1:31" ht="15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1:31" ht="15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1:31" ht="15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1:31" ht="15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1:31" ht="15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1:31" ht="15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1:31" ht="15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1:31" ht="15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1:31" ht="15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1:31" ht="15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1:31" ht="15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1:31" ht="15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1:31" ht="15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1:31" ht="15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1:31" ht="15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1:31" ht="15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1:31" ht="15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1:31" ht="15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1:31" ht="15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1:31" ht="15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1:31" ht="15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1:31" ht="15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1:31" ht="15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1:31" ht="15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1:31" ht="15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1:31" ht="15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1:31" ht="15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1:31" ht="15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1:31" ht="15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1:31" ht="15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1:31" ht="15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1:31" ht="15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1:31" ht="15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1:31" ht="15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topLeftCell="C1" workbookViewId="0">
      <selection activeCell="C5" sqref="C5"/>
    </sheetView>
  </sheetViews>
  <sheetFormatPr defaultColWidth="12.5703125" defaultRowHeight="15.75" customHeight="1" x14ac:dyDescent="0.2"/>
  <cols>
    <col min="1" max="1" width="75.140625" customWidth="1"/>
    <col min="2" max="2" width="74.5703125" customWidth="1"/>
    <col min="3" max="3" width="74.7109375" customWidth="1"/>
    <col min="4" max="4" width="108.42578125" customWidth="1"/>
  </cols>
  <sheetData>
    <row r="1" spans="1:4" ht="15.75" customHeight="1" x14ac:dyDescent="0.2">
      <c r="A1" s="28"/>
      <c r="B1" s="28"/>
      <c r="C1" s="28"/>
    </row>
    <row r="2" spans="1:4" ht="15.75" customHeight="1" x14ac:dyDescent="0.2">
      <c r="A2" s="28"/>
      <c r="B2" s="28"/>
      <c r="C2" s="28"/>
    </row>
    <row r="3" spans="1:4" ht="15.75" customHeight="1" x14ac:dyDescent="0.2">
      <c r="A3" s="28"/>
      <c r="B3" s="28"/>
      <c r="C3" s="28"/>
    </row>
    <row r="4" spans="1:4" ht="12.75" x14ac:dyDescent="0.2">
      <c r="A4" s="2" t="s">
        <v>11</v>
      </c>
      <c r="B4" s="2" t="s">
        <v>12</v>
      </c>
      <c r="C4" s="2" t="s">
        <v>13</v>
      </c>
      <c r="D4" s="2" t="s">
        <v>14</v>
      </c>
    </row>
    <row r="6" spans="1:4" ht="15.75" customHeight="1" x14ac:dyDescent="0.2">
      <c r="D6" s="28"/>
    </row>
    <row r="7" spans="1:4" ht="15.75" customHeight="1" x14ac:dyDescent="0.2">
      <c r="D7" s="28"/>
    </row>
    <row r="8" spans="1:4" ht="15.75" customHeight="1" x14ac:dyDescent="0.2">
      <c r="D8" s="28"/>
    </row>
    <row r="9" spans="1:4" ht="15.75" customHeight="1" x14ac:dyDescent="0.2">
      <c r="D9" s="28"/>
    </row>
    <row r="10" spans="1:4" ht="15.75" customHeight="1" x14ac:dyDescent="0.2">
      <c r="D10" s="28"/>
    </row>
    <row r="11" spans="1:4" ht="15.75" customHeight="1" x14ac:dyDescent="0.2">
      <c r="D11" s="28"/>
    </row>
    <row r="12" spans="1:4" ht="15.75" customHeight="1" x14ac:dyDescent="0.2">
      <c r="D12" s="28"/>
    </row>
    <row r="13" spans="1:4" ht="15.75" customHeight="1" x14ac:dyDescent="0.2">
      <c r="D13" s="28"/>
    </row>
    <row r="14" spans="1:4" ht="15.75" customHeight="1" x14ac:dyDescent="0.2">
      <c r="D14" s="28"/>
    </row>
    <row r="15" spans="1:4" ht="15.75" customHeight="1" x14ac:dyDescent="0.2">
      <c r="D15" s="28"/>
    </row>
    <row r="16" spans="1:4" ht="15.75" customHeight="1" x14ac:dyDescent="0.2">
      <c r="D16" s="28"/>
    </row>
    <row r="17" spans="1:4" ht="15.75" customHeight="1" x14ac:dyDescent="0.2">
      <c r="D17" s="28"/>
    </row>
    <row r="18" spans="1:4" ht="15.75" customHeight="1" x14ac:dyDescent="0.2">
      <c r="D18" s="28"/>
    </row>
    <row r="19" spans="1:4" ht="15.75" customHeight="1" x14ac:dyDescent="0.2">
      <c r="D19" s="28"/>
    </row>
    <row r="20" spans="1:4" ht="15.75" customHeight="1" x14ac:dyDescent="0.2">
      <c r="D20" s="28"/>
    </row>
    <row r="21" spans="1:4" ht="15.75" customHeight="1" x14ac:dyDescent="0.2">
      <c r="D21" s="28"/>
    </row>
    <row r="22" spans="1:4" ht="15.75" customHeight="1" x14ac:dyDescent="0.2">
      <c r="D22" s="28"/>
    </row>
    <row r="23" spans="1:4" ht="15.75" customHeight="1" x14ac:dyDescent="0.2">
      <c r="D23" s="28"/>
    </row>
    <row r="26" spans="1:4" ht="12.75" x14ac:dyDescent="0.2">
      <c r="A26" s="3"/>
    </row>
  </sheetData>
  <mergeCells count="2">
    <mergeCell ref="A1:C3"/>
    <mergeCell ref="D6:D2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workbookViewId="0">
      <selection activeCell="A13" sqref="A13"/>
    </sheetView>
  </sheetViews>
  <sheetFormatPr defaultColWidth="12.5703125" defaultRowHeight="15.75" customHeight="1" x14ac:dyDescent="0.2"/>
  <cols>
    <col min="1" max="1" width="54.28515625" customWidth="1"/>
    <col min="2" max="2" width="30.85546875" customWidth="1"/>
  </cols>
  <sheetData>
    <row r="1" spans="1:2" x14ac:dyDescent="0.2">
      <c r="A1" s="4" t="s">
        <v>15</v>
      </c>
      <c r="B1" s="4" t="s">
        <v>16</v>
      </c>
    </row>
    <row r="3" spans="1:2" x14ac:dyDescent="0.2">
      <c r="A3" s="4" t="s">
        <v>17</v>
      </c>
      <c r="B3" s="5" t="s">
        <v>18</v>
      </c>
    </row>
    <row r="6" spans="1:2" x14ac:dyDescent="0.2">
      <c r="A6" s="4" t="s">
        <v>19</v>
      </c>
      <c r="B6" s="5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"/>
  <sheetViews>
    <sheetView workbookViewId="0">
      <selection activeCell="C14" sqref="C14"/>
    </sheetView>
  </sheetViews>
  <sheetFormatPr defaultColWidth="12.5703125" defaultRowHeight="15.75" customHeight="1" x14ac:dyDescent="0.2"/>
  <cols>
    <col min="1" max="1" width="33.7109375" customWidth="1"/>
    <col min="2" max="2" width="21" customWidth="1"/>
    <col min="3" max="3" width="26.7109375" customWidth="1"/>
  </cols>
  <sheetData>
    <row r="1" spans="1:3" ht="12.75" x14ac:dyDescent="0.2">
      <c r="A1" s="6" t="s">
        <v>21</v>
      </c>
      <c r="B1" s="6" t="s">
        <v>22</v>
      </c>
      <c r="C1" s="6" t="s">
        <v>23</v>
      </c>
    </row>
    <row r="2" spans="1:3" ht="63.75" x14ac:dyDescent="0.2">
      <c r="A2" s="7" t="s">
        <v>24</v>
      </c>
      <c r="B2" s="9" t="s">
        <v>25</v>
      </c>
      <c r="C2" s="8" t="s">
        <v>26</v>
      </c>
    </row>
    <row r="4" spans="1:3" ht="12.75" x14ac:dyDescent="0.2">
      <c r="A4" s="1" t="s">
        <v>27</v>
      </c>
      <c r="B4" s="1" t="s">
        <v>28</v>
      </c>
      <c r="C4" s="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Bugs</vt:lpstr>
      <vt:lpstr>Métricas</vt:lpstr>
      <vt:lpstr>Regra</vt:lpstr>
      <vt:lpstr>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DE SOUZA LIMA SOBRINHO</cp:lastModifiedBy>
  <dcterms:modified xsi:type="dcterms:W3CDTF">2026-04-10T17:22:16Z</dcterms:modified>
</cp:coreProperties>
</file>